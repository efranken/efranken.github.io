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Eric Share\Github\efranken.github.io\data\"/>
    </mc:Choice>
  </mc:AlternateContent>
  <bookViews>
    <workbookView xWindow="0" yWindow="4560" windowWidth="17256" windowHeight="6024"/>
  </bookViews>
  <sheets>
    <sheet name="traveldays" sheetId="1" r:id="rId1"/>
  </sheets>
  <calcPr calcId="152511"/>
</workbook>
</file>

<file path=xl/calcChain.xml><?xml version="1.0" encoding="utf-8"?>
<calcChain xmlns="http://schemas.openxmlformats.org/spreadsheetml/2006/main">
  <c r="AC4" i="1" l="1"/>
  <c r="AC5" i="1"/>
  <c r="X7" i="1" l="1"/>
  <c r="Y10" i="1"/>
  <c r="X15" i="1"/>
  <c r="Y15" i="1"/>
  <c r="Y18" i="1"/>
  <c r="X21" i="1"/>
  <c r="Y21" i="1"/>
  <c r="X33" i="1"/>
  <c r="Y33" i="1"/>
  <c r="X34" i="1"/>
  <c r="Y34" i="1"/>
  <c r="W6" i="1"/>
  <c r="W8" i="1"/>
  <c r="W9" i="1"/>
  <c r="W10" i="1"/>
  <c r="W11" i="1"/>
  <c r="W12" i="1"/>
  <c r="W13" i="1"/>
  <c r="W14" i="1"/>
  <c r="W15" i="1"/>
  <c r="W16" i="1"/>
  <c r="W17" i="1"/>
  <c r="W18" i="1"/>
  <c r="W20" i="1"/>
  <c r="W21" i="1"/>
  <c r="W24" i="1"/>
  <c r="W27" i="1"/>
  <c r="W28" i="1"/>
  <c r="W33" i="1"/>
  <c r="W5" i="1"/>
  <c r="V6" i="1"/>
  <c r="V7" i="1"/>
  <c r="V9" i="1"/>
  <c r="V10" i="1"/>
  <c r="V11" i="1"/>
  <c r="V14" i="1"/>
  <c r="V15" i="1"/>
  <c r="V16" i="1"/>
  <c r="V17" i="1"/>
  <c r="V20" i="1"/>
  <c r="V21" i="1"/>
  <c r="V24" i="1"/>
  <c r="V27" i="1"/>
  <c r="V28" i="1"/>
  <c r="V30" i="1"/>
  <c r="V32" i="1"/>
  <c r="V33" i="1"/>
  <c r="V34" i="1"/>
  <c r="V5" i="1"/>
  <c r="G4" i="1" l="1"/>
  <c r="F4" i="1"/>
  <c r="C4" i="1"/>
</calcChain>
</file>

<file path=xl/sharedStrings.xml><?xml version="1.0" encoding="utf-8"?>
<sst xmlns="http://schemas.openxmlformats.org/spreadsheetml/2006/main" count="186" uniqueCount="107">
  <si>
    <t>2016 travel days</t>
  </si>
  <si>
    <t>in</t>
  </si>
  <si>
    <t>out</t>
  </si>
  <si>
    <t>days</t>
  </si>
  <si>
    <t>location</t>
  </si>
  <si>
    <t>track</t>
  </si>
  <si>
    <t>fly</t>
  </si>
  <si>
    <t>drive</t>
  </si>
  <si>
    <t>flt no in</t>
  </si>
  <si>
    <t>flt no out</t>
  </si>
  <si>
    <t>flt no out connect</t>
  </si>
  <si>
    <t>florida</t>
  </si>
  <si>
    <t>daytona</t>
  </si>
  <si>
    <t>x</t>
  </si>
  <si>
    <t>california</t>
  </si>
  <si>
    <t>sonoma</t>
  </si>
  <si>
    <t>fontana</t>
  </si>
  <si>
    <t>sebring</t>
  </si>
  <si>
    <t>arizona</t>
  </si>
  <si>
    <t>phoenix</t>
  </si>
  <si>
    <t>st pete</t>
  </si>
  <si>
    <t>alabama</t>
  </si>
  <si>
    <t>barber</t>
  </si>
  <si>
    <t>long beach</t>
  </si>
  <si>
    <t>texas</t>
  </si>
  <si>
    <t>texas motor speedway</t>
  </si>
  <si>
    <t>iowa</t>
  </si>
  <si>
    <t>iowa speedway</t>
  </si>
  <si>
    <t>michigan</t>
  </si>
  <si>
    <t>belle isle</t>
  </si>
  <si>
    <t>france</t>
  </si>
  <si>
    <t>le mans</t>
  </si>
  <si>
    <t>wisconsin</t>
  </si>
  <si>
    <t>road america</t>
  </si>
  <si>
    <t>ohio</t>
  </si>
  <si>
    <t>mid-ohio</t>
  </si>
  <si>
    <t>pennsylvania</t>
  </si>
  <si>
    <t>pocono</t>
  </si>
  <si>
    <t>watkins glenn</t>
  </si>
  <si>
    <t>new york</t>
  </si>
  <si>
    <t>san diego</t>
  </si>
  <si>
    <t>sonoma raceway</t>
  </si>
  <si>
    <t>flt no in img</t>
  </si>
  <si>
    <t>flt no out img</t>
  </si>
  <si>
    <t>flt no in con img</t>
  </si>
  <si>
    <t>flt no out con img</t>
  </si>
  <si>
    <t>(</t>
  </si>
  <si>
    <t>airport in con</t>
  </si>
  <si>
    <t>airport out con</t>
  </si>
  <si>
    <t>airport dep</t>
  </si>
  <si>
    <t>airport land</t>
  </si>
  <si>
    <t>flt map in</t>
  </si>
  <si>
    <t>flt dist in</t>
  </si>
  <si>
    <t>airplane type in</t>
  </si>
  <si>
    <t>link in</t>
  </si>
  <si>
    <t>airplane type out</t>
  </si>
  <si>
    <t>airplane map out</t>
  </si>
  <si>
    <t>flt dist out</t>
  </si>
  <si>
    <t>link out</t>
  </si>
  <si>
    <t>id in</t>
  </si>
  <si>
    <t>1130Z</t>
  </si>
  <si>
    <t>id out</t>
  </si>
  <si>
    <t>flt no in con</t>
  </si>
  <si>
    <t>id con in</t>
  </si>
  <si>
    <t>id con out</t>
  </si>
  <si>
    <t>SWA2852</t>
  </si>
  <si>
    <t>KIND</t>
  </si>
  <si>
    <t>KMCO</t>
  </si>
  <si>
    <t>SWA798</t>
  </si>
  <si>
    <t>SWA1710</t>
  </si>
  <si>
    <t>SWA1908</t>
  </si>
  <si>
    <t>SWA979</t>
  </si>
  <si>
    <t>DAL3971</t>
  </si>
  <si>
    <t>DAL3887</t>
  </si>
  <si>
    <t>SWA406</t>
  </si>
  <si>
    <t>AAL2020</t>
  </si>
  <si>
    <t>AAL4070</t>
  </si>
  <si>
    <t>SWA293</t>
  </si>
  <si>
    <t>CHARTER</t>
  </si>
  <si>
    <t>SWA1555</t>
  </si>
  <si>
    <t>SWA3172</t>
  </si>
  <si>
    <t>DAL272</t>
  </si>
  <si>
    <t>DAL2400</t>
  </si>
  <si>
    <t>DAL1706</t>
  </si>
  <si>
    <t>DAL1930</t>
  </si>
  <si>
    <t>BSK676</t>
  </si>
  <si>
    <t>BSK678</t>
  </si>
  <si>
    <t>AAL2288</t>
  </si>
  <si>
    <t>AAL2275</t>
  </si>
  <si>
    <t>AAL3417</t>
  </si>
  <si>
    <t>AAL4635</t>
  </si>
  <si>
    <t>BSK679</t>
  </si>
  <si>
    <t>BSK680</t>
  </si>
  <si>
    <t>UAL6241</t>
  </si>
  <si>
    <t>UAL986</t>
  </si>
  <si>
    <t>UAL915</t>
  </si>
  <si>
    <t>UAL3602</t>
  </si>
  <si>
    <t>BSK681</t>
  </si>
  <si>
    <t>BSK682</t>
  </si>
  <si>
    <t>BSK669</t>
  </si>
  <si>
    <t>UA500</t>
  </si>
  <si>
    <t>AA444</t>
  </si>
  <si>
    <t>AA2289</t>
  </si>
  <si>
    <t>AA934</t>
  </si>
  <si>
    <t>AA3556</t>
  </si>
  <si>
    <t>UA680</t>
  </si>
  <si>
    <t>UA3715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</si>
</sst>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mmdd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242729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6" fontId="0" fillId="0" borderId="0" xfId="0" applyNumberFormat="1"/>
    <xf numFmtId="0" fontId="18" fillId="0" borderId="0" xfId="0" applyFont="1"/>
    <xf numFmtId="16" fontId="18" fillId="0" borderId="0" xfId="0" applyNumberFormat="1" applyFon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G34"/>
  <sheetViews>
    <sheetView tabSelected="1" topLeftCell="A16" workbookViewId="0">
      <selection activeCell="O45" sqref="O45"/>
    </sheetView>
  </sheetViews>
  <sheetFormatPr defaultRowHeight="14.4" x14ac:dyDescent="0.3"/>
  <cols>
    <col min="10" max="10" width="10" bestFit="1" customWidth="1"/>
    <col min="11" max="11" width="10" customWidth="1"/>
    <col min="14" max="14" width="10" bestFit="1" customWidth="1"/>
    <col min="15" max="15" width="10" customWidth="1"/>
    <col min="16" max="16" width="10.6640625" bestFit="1" customWidth="1"/>
    <col min="17" max="17" width="11.88671875" bestFit="1" customWidth="1"/>
    <col min="18" max="18" width="11.88671875" customWidth="1"/>
    <col min="22" max="22" width="10.5546875" bestFit="1" customWidth="1"/>
    <col min="23" max="23" width="11.88671875" bestFit="1" customWidth="1"/>
    <col min="24" max="24" width="14.109375" bestFit="1" customWidth="1"/>
    <col min="25" max="25" width="15.44140625" bestFit="1" customWidth="1"/>
    <col min="26" max="26" width="13.5546875" bestFit="1" customWidth="1"/>
    <col min="29" max="29" width="40.44140625" customWidth="1"/>
    <col min="30" max="31" width="14.88671875" bestFit="1" customWidth="1"/>
    <col min="32" max="32" width="9.33203125" bestFit="1" customWidth="1"/>
    <col min="33" max="33" width="7" bestFit="1" customWidth="1"/>
  </cols>
  <sheetData>
    <row r="1" spans="1:33" x14ac:dyDescent="0.3">
      <c r="A1" t="s">
        <v>0</v>
      </c>
      <c r="E1" t="s">
        <v>46</v>
      </c>
    </row>
    <row r="3" spans="1:3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59</v>
      </c>
      <c r="J3" t="s">
        <v>49</v>
      </c>
      <c r="K3" t="s">
        <v>50</v>
      </c>
      <c r="L3" t="s">
        <v>9</v>
      </c>
      <c r="M3" t="s">
        <v>61</v>
      </c>
      <c r="N3" t="s">
        <v>49</v>
      </c>
      <c r="O3" t="s">
        <v>50</v>
      </c>
      <c r="P3" t="s">
        <v>62</v>
      </c>
      <c r="Q3" t="s">
        <v>47</v>
      </c>
      <c r="R3" t="s">
        <v>63</v>
      </c>
      <c r="S3" t="s">
        <v>10</v>
      </c>
      <c r="T3" t="s">
        <v>48</v>
      </c>
      <c r="U3" t="s">
        <v>64</v>
      </c>
      <c r="V3" t="s">
        <v>42</v>
      </c>
      <c r="W3" t="s">
        <v>43</v>
      </c>
      <c r="X3" t="s">
        <v>44</v>
      </c>
      <c r="Y3" t="s">
        <v>45</v>
      </c>
      <c r="Z3" t="s">
        <v>53</v>
      </c>
      <c r="AA3" t="s">
        <v>51</v>
      </c>
      <c r="AB3" t="s">
        <v>52</v>
      </c>
      <c r="AC3" t="s">
        <v>54</v>
      </c>
      <c r="AD3" t="s">
        <v>55</v>
      </c>
      <c r="AE3" t="s">
        <v>56</v>
      </c>
      <c r="AF3" t="s">
        <v>57</v>
      </c>
      <c r="AG3" t="s">
        <v>58</v>
      </c>
    </row>
    <row r="4" spans="1:33" x14ac:dyDescent="0.3">
      <c r="C4">
        <f>SUM(C5:C84)</f>
        <v>101</v>
      </c>
      <c r="F4">
        <f>COUNTIF(F5:F50, "x")</f>
        <v>25</v>
      </c>
      <c r="G4">
        <f>COUNTIF(G5:G50,"x")</f>
        <v>5</v>
      </c>
      <c r="V4" s="2"/>
      <c r="AC4" s="1" t="str">
        <f>"http://flightaware.com/live/flight/"&amp;H5&amp;"/history/"&amp;TEXT(A5,"yyymmdd")&amp;"/"&amp;I5&amp;"/"&amp;J5&amp;"/"&amp;K5</f>
        <v>http://flightaware.com/live/flight/SWA2852/history/20160107/1130Z/KIND/KMCO</v>
      </c>
    </row>
    <row r="5" spans="1:33" x14ac:dyDescent="0.3">
      <c r="A5" s="4">
        <v>42376</v>
      </c>
      <c r="B5" s="4">
        <v>42379</v>
      </c>
      <c r="C5">
        <v>4</v>
      </c>
      <c r="D5" t="s">
        <v>11</v>
      </c>
      <c r="E5" t="s">
        <v>12</v>
      </c>
      <c r="F5" t="s">
        <v>13</v>
      </c>
      <c r="H5" t="s">
        <v>65</v>
      </c>
      <c r="I5" t="s">
        <v>60</v>
      </c>
      <c r="J5" t="s">
        <v>66</v>
      </c>
      <c r="K5" t="s">
        <v>67</v>
      </c>
      <c r="L5" t="s">
        <v>68</v>
      </c>
      <c r="N5" t="s">
        <v>67</v>
      </c>
      <c r="O5" t="s">
        <v>66</v>
      </c>
      <c r="V5" s="3" t="str">
        <f>A5&amp;H5</f>
        <v>42376SWA2852</v>
      </c>
      <c r="W5" s="3" t="str">
        <f>B5&amp;L5</f>
        <v>42379SWA798</v>
      </c>
      <c r="X5" s="3"/>
      <c r="Y5" s="3"/>
      <c r="AC5" s="1" t="str">
        <f>"http://flightaware.com/live/flight/"&amp;H6&amp;"/history/"&amp;TEXT(A6,"yyymmdd")&amp;"/"&amp;I6&amp;"/"&amp;J6&amp;"/"&amp;K6</f>
        <v>http://flightaware.com/live/flight/SWA2852/history/20160126/1130Z/KIND/KMCO</v>
      </c>
    </row>
    <row r="6" spans="1:33" x14ac:dyDescent="0.3">
      <c r="A6" s="1">
        <v>42395</v>
      </c>
      <c r="B6" s="1">
        <v>42400</v>
      </c>
      <c r="C6">
        <v>6</v>
      </c>
      <c r="D6" t="s">
        <v>11</v>
      </c>
      <c r="E6" t="s">
        <v>12</v>
      </c>
      <c r="F6" t="s">
        <v>13</v>
      </c>
      <c r="H6" t="s">
        <v>65</v>
      </c>
      <c r="I6" t="s">
        <v>60</v>
      </c>
      <c r="J6" t="s">
        <v>66</v>
      </c>
      <c r="K6" t="s">
        <v>67</v>
      </c>
      <c r="L6" t="s">
        <v>68</v>
      </c>
      <c r="N6" t="s">
        <v>67</v>
      </c>
      <c r="O6" t="s">
        <v>66</v>
      </c>
      <c r="V6" s="3" t="str">
        <f>A6&amp;H6</f>
        <v>42395SWA2852</v>
      </c>
      <c r="W6" s="3" t="str">
        <f>B6&amp;L6</f>
        <v>42400SWA798</v>
      </c>
      <c r="X6" s="3"/>
      <c r="Y6" s="3"/>
    </row>
    <row r="7" spans="1:33" x14ac:dyDescent="0.3">
      <c r="A7" s="1">
        <v>42409</v>
      </c>
      <c r="B7" s="1">
        <v>42411</v>
      </c>
      <c r="C7">
        <v>3</v>
      </c>
      <c r="D7" t="s">
        <v>14</v>
      </c>
      <c r="E7" t="s">
        <v>15</v>
      </c>
      <c r="F7" t="s">
        <v>13</v>
      </c>
      <c r="H7" t="s">
        <v>69</v>
      </c>
      <c r="J7" t="s">
        <v>66</v>
      </c>
      <c r="P7" t="s">
        <v>70</v>
      </c>
      <c r="V7" s="3" t="str">
        <f>A7&amp;H7</f>
        <v>42409SWA1710</v>
      </c>
      <c r="W7" s="3"/>
      <c r="X7" s="3" t="str">
        <f>A7&amp;P7</f>
        <v>42409SWA1908</v>
      </c>
      <c r="Y7" s="3"/>
    </row>
    <row r="8" spans="1:33" x14ac:dyDescent="0.3">
      <c r="A8" s="1">
        <v>42411</v>
      </c>
      <c r="B8" s="1">
        <v>42412</v>
      </c>
      <c r="C8">
        <v>2</v>
      </c>
      <c r="D8" t="s">
        <v>14</v>
      </c>
      <c r="E8" t="s">
        <v>16</v>
      </c>
      <c r="F8" t="s">
        <v>13</v>
      </c>
      <c r="L8" t="s">
        <v>71</v>
      </c>
      <c r="V8" s="3"/>
      <c r="W8" s="3" t="str">
        <f t="shared" ref="W8:W18" si="0">B8&amp;L8</f>
        <v>42412SWA979</v>
      </c>
      <c r="X8" s="3"/>
      <c r="Y8" s="3"/>
    </row>
    <row r="9" spans="1:33" x14ac:dyDescent="0.3">
      <c r="A9" s="1">
        <v>42421</v>
      </c>
      <c r="B9" s="1">
        <v>42422</v>
      </c>
      <c r="C9">
        <v>2</v>
      </c>
      <c r="D9" t="s">
        <v>11</v>
      </c>
      <c r="E9" t="s">
        <v>17</v>
      </c>
      <c r="F9" t="s">
        <v>13</v>
      </c>
      <c r="H9" t="s">
        <v>72</v>
      </c>
      <c r="L9" t="s">
        <v>73</v>
      </c>
      <c r="V9" s="3" t="str">
        <f>A9&amp;H9</f>
        <v>42421DAL3971</v>
      </c>
      <c r="W9" s="3" t="str">
        <f t="shared" si="0"/>
        <v>42422DAL3887</v>
      </c>
      <c r="X9" s="3"/>
      <c r="Y9" s="3"/>
    </row>
    <row r="10" spans="1:33" x14ac:dyDescent="0.3">
      <c r="A10" s="1">
        <v>42425</v>
      </c>
      <c r="B10" s="1">
        <v>42427</v>
      </c>
      <c r="C10">
        <v>3</v>
      </c>
      <c r="D10" t="s">
        <v>18</v>
      </c>
      <c r="E10" t="s">
        <v>19</v>
      </c>
      <c r="F10" t="s">
        <v>13</v>
      </c>
      <c r="H10" t="s">
        <v>74</v>
      </c>
      <c r="L10" t="s">
        <v>75</v>
      </c>
      <c r="S10" t="s">
        <v>76</v>
      </c>
      <c r="V10" s="3" t="str">
        <f>A10&amp;H10</f>
        <v>42425SWA406</v>
      </c>
      <c r="W10" s="3" t="str">
        <f t="shared" si="0"/>
        <v>42427AAL2020</v>
      </c>
      <c r="X10" s="3"/>
      <c r="Y10" s="3" t="str">
        <f>B10&amp;S10</f>
        <v>42427AAL4070</v>
      </c>
    </row>
    <row r="11" spans="1:33" x14ac:dyDescent="0.3">
      <c r="A11" s="1">
        <v>42429</v>
      </c>
      <c r="B11" s="1">
        <v>42430</v>
      </c>
      <c r="C11">
        <v>2</v>
      </c>
      <c r="D11" t="s">
        <v>11</v>
      </c>
      <c r="E11" t="s">
        <v>17</v>
      </c>
      <c r="F11" t="s">
        <v>13</v>
      </c>
      <c r="H11" t="s">
        <v>77</v>
      </c>
      <c r="L11" t="s">
        <v>68</v>
      </c>
      <c r="V11" s="3" t="str">
        <f>A11&amp;H11</f>
        <v>42429SWA293</v>
      </c>
      <c r="W11" s="3" t="str">
        <f t="shared" si="0"/>
        <v>42430SWA798</v>
      </c>
      <c r="X11" s="3"/>
      <c r="Y11" s="3"/>
    </row>
    <row r="12" spans="1:33" x14ac:dyDescent="0.3">
      <c r="A12" s="1">
        <v>42439</v>
      </c>
      <c r="B12" s="1">
        <v>42442</v>
      </c>
      <c r="C12">
        <v>4</v>
      </c>
      <c r="D12" t="s">
        <v>11</v>
      </c>
      <c r="E12" t="s">
        <v>20</v>
      </c>
      <c r="F12" t="s">
        <v>13</v>
      </c>
      <c r="H12" t="s">
        <v>78</v>
      </c>
      <c r="L12" t="s">
        <v>78</v>
      </c>
      <c r="V12" s="3"/>
      <c r="W12" s="3" t="str">
        <f t="shared" si="0"/>
        <v>42442CHARTER</v>
      </c>
      <c r="X12" s="3"/>
      <c r="Y12" s="3"/>
    </row>
    <row r="13" spans="1:33" x14ac:dyDescent="0.3">
      <c r="A13" s="1">
        <v>42442</v>
      </c>
      <c r="B13" s="1">
        <v>42444</v>
      </c>
      <c r="C13">
        <v>3</v>
      </c>
      <c r="D13" t="s">
        <v>21</v>
      </c>
      <c r="E13" t="s">
        <v>22</v>
      </c>
      <c r="F13" t="s">
        <v>13</v>
      </c>
      <c r="H13" t="s">
        <v>78</v>
      </c>
      <c r="L13" t="s">
        <v>78</v>
      </c>
      <c r="V13" s="3"/>
      <c r="W13" s="3" t="str">
        <f t="shared" si="0"/>
        <v>42444CHARTER</v>
      </c>
      <c r="X13" s="3"/>
      <c r="Y13" s="3"/>
    </row>
    <row r="14" spans="1:33" x14ac:dyDescent="0.3">
      <c r="A14" s="1">
        <v>42460</v>
      </c>
      <c r="B14" s="1">
        <v>42463</v>
      </c>
      <c r="C14">
        <v>4</v>
      </c>
      <c r="D14" t="s">
        <v>18</v>
      </c>
      <c r="E14" t="s">
        <v>19</v>
      </c>
      <c r="F14" t="s">
        <v>13</v>
      </c>
      <c r="H14" t="s">
        <v>79</v>
      </c>
      <c r="L14" t="s">
        <v>80</v>
      </c>
      <c r="V14" s="3" t="str">
        <f>A14&amp;H14</f>
        <v>42460SWA1555</v>
      </c>
      <c r="W14" s="3" t="str">
        <f t="shared" si="0"/>
        <v>42463SWA3172</v>
      </c>
      <c r="X14" s="3"/>
      <c r="Y14" s="3"/>
    </row>
    <row r="15" spans="1:33" x14ac:dyDescent="0.3">
      <c r="A15" s="1">
        <v>42474</v>
      </c>
      <c r="B15" s="1">
        <v>42477</v>
      </c>
      <c r="C15">
        <v>4</v>
      </c>
      <c r="D15" t="s">
        <v>14</v>
      </c>
      <c r="E15" t="s">
        <v>23</v>
      </c>
      <c r="F15" t="s">
        <v>13</v>
      </c>
      <c r="H15" t="s">
        <v>81</v>
      </c>
      <c r="L15" t="s">
        <v>82</v>
      </c>
      <c r="P15" t="s">
        <v>83</v>
      </c>
      <c r="S15" t="s">
        <v>84</v>
      </c>
      <c r="V15" s="3" t="str">
        <f>A15&amp;H15</f>
        <v>42474DAL272</v>
      </c>
      <c r="W15" s="3" t="str">
        <f t="shared" si="0"/>
        <v>42477DAL2400</v>
      </c>
      <c r="X15" s="3" t="str">
        <f>A15&amp;P15</f>
        <v>42474DAL1706</v>
      </c>
      <c r="Y15" s="3" t="str">
        <f>B15&amp;S15</f>
        <v>42477DAL1930</v>
      </c>
    </row>
    <row r="16" spans="1:33" x14ac:dyDescent="0.3">
      <c r="A16" s="1">
        <v>42481</v>
      </c>
      <c r="B16" s="1">
        <v>42484</v>
      </c>
      <c r="C16">
        <v>4</v>
      </c>
      <c r="D16" t="s">
        <v>21</v>
      </c>
      <c r="E16" t="s">
        <v>22</v>
      </c>
      <c r="F16" t="s">
        <v>13</v>
      </c>
      <c r="H16" t="s">
        <v>85</v>
      </c>
      <c r="L16" t="s">
        <v>86</v>
      </c>
      <c r="V16" s="3" t="str">
        <f>A16&amp;H16</f>
        <v>42481BSK676</v>
      </c>
      <c r="W16" s="3" t="str">
        <f t="shared" si="0"/>
        <v>42484BSK678</v>
      </c>
      <c r="X16" s="3"/>
      <c r="Y16" s="3"/>
    </row>
    <row r="17" spans="1:25" x14ac:dyDescent="0.3">
      <c r="A17" s="1">
        <v>42492</v>
      </c>
      <c r="B17" s="1">
        <v>42493</v>
      </c>
      <c r="C17">
        <v>2</v>
      </c>
      <c r="D17" t="s">
        <v>24</v>
      </c>
      <c r="E17" t="s">
        <v>25</v>
      </c>
      <c r="F17" t="s">
        <v>13</v>
      </c>
      <c r="H17" t="s">
        <v>87</v>
      </c>
      <c r="L17" t="s">
        <v>88</v>
      </c>
      <c r="V17" s="3" t="str">
        <f>A17&amp;H17</f>
        <v>42492AAL2288</v>
      </c>
      <c r="W17" s="3" t="str">
        <f t="shared" si="0"/>
        <v>42493AAL2275</v>
      </c>
      <c r="X17" s="3"/>
      <c r="Y17" s="3"/>
    </row>
    <row r="18" spans="1:25" x14ac:dyDescent="0.3">
      <c r="A18" s="1">
        <v>42494</v>
      </c>
      <c r="B18" s="1">
        <v>42495</v>
      </c>
      <c r="C18">
        <v>2</v>
      </c>
      <c r="D18" t="s">
        <v>26</v>
      </c>
      <c r="E18" t="s">
        <v>27</v>
      </c>
      <c r="F18" t="s">
        <v>13</v>
      </c>
      <c r="L18" t="s">
        <v>89</v>
      </c>
      <c r="S18" t="s">
        <v>90</v>
      </c>
      <c r="V18" s="3"/>
      <c r="W18" s="3" t="str">
        <f t="shared" si="0"/>
        <v>42495AAL3417</v>
      </c>
      <c r="X18" s="3"/>
      <c r="Y18" s="3" t="str">
        <f>B18&amp;S18</f>
        <v>42495AAL4635</v>
      </c>
    </row>
    <row r="19" spans="1:25" x14ac:dyDescent="0.3">
      <c r="A19" s="1">
        <v>42523</v>
      </c>
      <c r="B19" s="1">
        <v>42526</v>
      </c>
      <c r="C19">
        <v>4</v>
      </c>
      <c r="D19" t="s">
        <v>28</v>
      </c>
      <c r="E19" t="s">
        <v>29</v>
      </c>
      <c r="G19" t="s">
        <v>13</v>
      </c>
      <c r="V19" s="3"/>
      <c r="W19" s="3"/>
      <c r="X19" s="3"/>
      <c r="Y19" s="3"/>
    </row>
    <row r="20" spans="1:25" x14ac:dyDescent="0.3">
      <c r="A20" s="1">
        <v>42529</v>
      </c>
      <c r="B20" s="1">
        <v>42533</v>
      </c>
      <c r="C20">
        <v>5</v>
      </c>
      <c r="D20" t="s">
        <v>24</v>
      </c>
      <c r="E20" t="s">
        <v>25</v>
      </c>
      <c r="F20" t="s">
        <v>13</v>
      </c>
      <c r="H20" t="s">
        <v>91</v>
      </c>
      <c r="L20" t="s">
        <v>92</v>
      </c>
      <c r="V20" s="3" t="str">
        <f>A20&amp;H20</f>
        <v>42529BSK679</v>
      </c>
      <c r="W20" s="3" t="str">
        <f>B20&amp;L20</f>
        <v>42533BSK680</v>
      </c>
      <c r="X20" s="3"/>
      <c r="Y20" s="3"/>
    </row>
    <row r="21" spans="1:25" x14ac:dyDescent="0.3">
      <c r="A21" s="1">
        <v>42534</v>
      </c>
      <c r="B21" s="1">
        <v>42541</v>
      </c>
      <c r="C21">
        <v>7</v>
      </c>
      <c r="D21" t="s">
        <v>30</v>
      </c>
      <c r="E21" t="s">
        <v>31</v>
      </c>
      <c r="F21" t="s">
        <v>13</v>
      </c>
      <c r="H21" t="s">
        <v>93</v>
      </c>
      <c r="L21" t="s">
        <v>94</v>
      </c>
      <c r="P21" t="s">
        <v>95</v>
      </c>
      <c r="S21" t="s">
        <v>96</v>
      </c>
      <c r="V21" s="3" t="str">
        <f>A21&amp;H21</f>
        <v>42534UAL6241</v>
      </c>
      <c r="W21" s="3" t="str">
        <f>B21&amp;L21</f>
        <v>42541UAL986</v>
      </c>
      <c r="X21" s="3" t="str">
        <f>A21&amp;P21</f>
        <v>42534UAL915</v>
      </c>
      <c r="Y21" s="3" t="str">
        <f>B21&amp;S21</f>
        <v>42541UAL3602</v>
      </c>
    </row>
    <row r="22" spans="1:25" x14ac:dyDescent="0.3">
      <c r="A22" s="1">
        <v>42544</v>
      </c>
      <c r="B22" s="1">
        <v>42547</v>
      </c>
      <c r="C22">
        <v>4</v>
      </c>
      <c r="D22" t="s">
        <v>32</v>
      </c>
      <c r="E22" t="s">
        <v>33</v>
      </c>
      <c r="G22" t="s">
        <v>13</v>
      </c>
      <c r="V22" s="3"/>
      <c r="W22" s="3"/>
      <c r="X22" s="3"/>
      <c r="Y22" s="3"/>
    </row>
    <row r="23" spans="1:25" x14ac:dyDescent="0.3">
      <c r="A23" s="1">
        <v>42549</v>
      </c>
      <c r="B23" s="1">
        <v>42550</v>
      </c>
      <c r="C23">
        <v>2</v>
      </c>
      <c r="D23" t="s">
        <v>26</v>
      </c>
      <c r="E23" t="s">
        <v>27</v>
      </c>
      <c r="G23" t="s">
        <v>13</v>
      </c>
      <c r="V23" s="3"/>
      <c r="W23" s="3"/>
      <c r="X23" s="3"/>
      <c r="Y23" s="3"/>
    </row>
    <row r="24" spans="1:25" x14ac:dyDescent="0.3">
      <c r="A24" s="1">
        <v>42559</v>
      </c>
      <c r="B24" s="1">
        <v>42561</v>
      </c>
      <c r="C24">
        <v>3</v>
      </c>
      <c r="D24" t="s">
        <v>26</v>
      </c>
      <c r="E24" t="s">
        <v>27</v>
      </c>
      <c r="F24" t="s">
        <v>13</v>
      </c>
      <c r="H24" t="s">
        <v>97</v>
      </c>
      <c r="L24" t="s">
        <v>98</v>
      </c>
      <c r="V24" s="3" t="str">
        <f>A24&amp;H24</f>
        <v>42559BSK681</v>
      </c>
      <c r="W24" s="3" t="str">
        <f>B24&amp;L24</f>
        <v>42561BSK682</v>
      </c>
      <c r="X24" s="3"/>
      <c r="Y24" s="3"/>
    </row>
    <row r="25" spans="1:25" x14ac:dyDescent="0.3">
      <c r="A25" s="1">
        <v>42571</v>
      </c>
      <c r="B25" s="1">
        <v>42572</v>
      </c>
      <c r="C25">
        <v>2</v>
      </c>
      <c r="D25" t="s">
        <v>34</v>
      </c>
      <c r="E25" t="s">
        <v>35</v>
      </c>
      <c r="G25" t="s">
        <v>13</v>
      </c>
      <c r="V25" s="3"/>
      <c r="W25" s="3"/>
      <c r="X25" s="3"/>
      <c r="Y25" s="3"/>
    </row>
    <row r="26" spans="1:25" x14ac:dyDescent="0.3">
      <c r="A26" s="1">
        <v>42579</v>
      </c>
      <c r="B26" s="1">
        <v>42582</v>
      </c>
      <c r="C26">
        <v>4</v>
      </c>
      <c r="D26" t="s">
        <v>34</v>
      </c>
      <c r="E26" t="s">
        <v>35</v>
      </c>
      <c r="G26" t="s">
        <v>13</v>
      </c>
      <c r="V26" s="3"/>
      <c r="W26" s="3"/>
      <c r="X26" s="3"/>
      <c r="Y26" s="3"/>
    </row>
    <row r="27" spans="1:25" x14ac:dyDescent="0.3">
      <c r="A27" s="1">
        <v>42585</v>
      </c>
      <c r="B27" s="1">
        <v>42586</v>
      </c>
      <c r="C27">
        <v>2</v>
      </c>
      <c r="D27" t="s">
        <v>36</v>
      </c>
      <c r="E27" t="s">
        <v>37</v>
      </c>
      <c r="F27" t="s">
        <v>13</v>
      </c>
      <c r="H27" t="s">
        <v>91</v>
      </c>
      <c r="L27" t="s">
        <v>91</v>
      </c>
      <c r="V27" s="3" t="str">
        <f>A27&amp;H27</f>
        <v>42585BSK679</v>
      </c>
      <c r="W27" s="3" t="str">
        <f>B27&amp;L27</f>
        <v>42586BSK679</v>
      </c>
      <c r="X27" s="3"/>
      <c r="Y27" s="3"/>
    </row>
    <row r="28" spans="1:25" x14ac:dyDescent="0.3">
      <c r="A28" s="1">
        <v>42592</v>
      </c>
      <c r="B28" s="1">
        <v>42593</v>
      </c>
      <c r="C28">
        <v>2</v>
      </c>
      <c r="D28" t="s">
        <v>39</v>
      </c>
      <c r="E28" t="s">
        <v>38</v>
      </c>
      <c r="F28" t="s">
        <v>13</v>
      </c>
      <c r="H28" t="s">
        <v>91</v>
      </c>
      <c r="L28" t="s">
        <v>97</v>
      </c>
      <c r="V28" s="3" t="str">
        <f>A28&amp;H28</f>
        <v>42592BSK679</v>
      </c>
      <c r="W28" s="3" t="str">
        <f>B28&amp;L28</f>
        <v>42593BSK681</v>
      </c>
      <c r="X28" s="3"/>
      <c r="Y28" s="3"/>
    </row>
    <row r="29" spans="1:25" x14ac:dyDescent="0.3">
      <c r="A29" s="1">
        <v>42601</v>
      </c>
      <c r="B29" s="1">
        <v>42604</v>
      </c>
      <c r="C29">
        <v>4</v>
      </c>
      <c r="D29" t="s">
        <v>36</v>
      </c>
      <c r="E29" t="s">
        <v>37</v>
      </c>
      <c r="F29" t="s">
        <v>13</v>
      </c>
      <c r="V29" s="3"/>
      <c r="W29" s="3"/>
      <c r="X29" s="3"/>
      <c r="Y29" s="3"/>
    </row>
    <row r="30" spans="1:25" x14ac:dyDescent="0.3">
      <c r="A30" s="1">
        <v>42608</v>
      </c>
      <c r="B30" s="1">
        <v>42609</v>
      </c>
      <c r="C30">
        <v>2</v>
      </c>
      <c r="D30" t="s">
        <v>24</v>
      </c>
      <c r="E30" t="s">
        <v>25</v>
      </c>
      <c r="F30" t="s">
        <v>13</v>
      </c>
      <c r="H30" t="s">
        <v>99</v>
      </c>
      <c r="V30" s="3" t="str">
        <f>A30&amp;H30</f>
        <v>42608BSK669</v>
      </c>
      <c r="W30" s="3"/>
      <c r="X30" s="3"/>
      <c r="Y30" s="3"/>
    </row>
    <row r="31" spans="1:25" x14ac:dyDescent="0.3">
      <c r="A31" s="1">
        <v>42614</v>
      </c>
      <c r="B31" s="1">
        <v>42617</v>
      </c>
      <c r="C31">
        <v>4</v>
      </c>
      <c r="D31" t="s">
        <v>39</v>
      </c>
      <c r="E31" t="s">
        <v>38</v>
      </c>
      <c r="F31" t="s">
        <v>13</v>
      </c>
      <c r="V31" s="3"/>
      <c r="W31" s="3"/>
      <c r="X31" s="3"/>
      <c r="Y31" s="3"/>
    </row>
    <row r="32" spans="1:25" x14ac:dyDescent="0.3">
      <c r="A32" s="1">
        <v>42620</v>
      </c>
      <c r="B32" s="1">
        <v>42621</v>
      </c>
      <c r="C32">
        <v>2</v>
      </c>
      <c r="D32" t="s">
        <v>15</v>
      </c>
      <c r="E32" t="s">
        <v>41</v>
      </c>
      <c r="F32" t="s">
        <v>13</v>
      </c>
      <c r="H32" t="s">
        <v>100</v>
      </c>
      <c r="V32" s="3" t="str">
        <f>A32&amp;H32</f>
        <v>42620UA500</v>
      </c>
      <c r="W32" s="3"/>
      <c r="X32" s="3"/>
      <c r="Y32" s="3"/>
    </row>
    <row r="33" spans="1:25" x14ac:dyDescent="0.3">
      <c r="A33" s="1">
        <v>42622</v>
      </c>
      <c r="B33" s="1">
        <v>42624</v>
      </c>
      <c r="C33">
        <v>3</v>
      </c>
      <c r="D33" t="s">
        <v>40</v>
      </c>
      <c r="F33" t="s">
        <v>13</v>
      </c>
      <c r="H33" t="s">
        <v>101</v>
      </c>
      <c r="L33" t="s">
        <v>102</v>
      </c>
      <c r="P33" t="s">
        <v>103</v>
      </c>
      <c r="S33" t="s">
        <v>104</v>
      </c>
      <c r="V33" s="3" t="str">
        <f>A33&amp;H33</f>
        <v>42622AA444</v>
      </c>
      <c r="W33" s="3" t="str">
        <f>B33&amp;L33</f>
        <v>42624AA2289</v>
      </c>
      <c r="X33" s="3" t="str">
        <f>A33&amp;P33</f>
        <v>42622AA934</v>
      </c>
      <c r="Y33" s="3" t="str">
        <f>B33&amp;S33</f>
        <v>42624AA3556</v>
      </c>
    </row>
    <row r="34" spans="1:25" x14ac:dyDescent="0.3">
      <c r="A34" s="1">
        <v>42627</v>
      </c>
      <c r="B34" s="1">
        <v>42632</v>
      </c>
      <c r="C34">
        <v>6</v>
      </c>
      <c r="D34" t="s">
        <v>15</v>
      </c>
      <c r="E34" t="s">
        <v>41</v>
      </c>
      <c r="F34" t="s">
        <v>13</v>
      </c>
      <c r="H34" t="s">
        <v>100</v>
      </c>
      <c r="P34" t="s">
        <v>105</v>
      </c>
      <c r="S34" t="s">
        <v>106</v>
      </c>
      <c r="V34" s="3" t="str">
        <f>A34&amp;H34</f>
        <v>42627UA500</v>
      </c>
      <c r="W34" s="3"/>
      <c r="X34" s="3" t="str">
        <f>A34&amp;P34</f>
        <v>42627UA680</v>
      </c>
      <c r="Y34" s="3" t="str">
        <f>B34&amp;S34</f>
        <v>42632UA3715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traveldays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Frankenberger</dc:creator>
  <cp:lastModifiedBy>Eric Frankenberger</cp:lastModifiedBy>
  <dcterms:created xsi:type="dcterms:W3CDTF">2016-08-03T02:54:18Z</dcterms:created>
  <dcterms:modified xsi:type="dcterms:W3CDTF">2016-09-18T05:06:17Z</dcterms:modified>
</cp:coreProperties>
</file>